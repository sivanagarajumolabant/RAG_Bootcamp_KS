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black" sheetId="2" r:id="rId5"/>
  </sheets>
  <definedNames/>
  <calcPr/>
</workbook>
</file>

<file path=xl/sharedStrings.xml><?xml version="1.0" encoding="utf-8"?>
<sst xmlns="http://schemas.openxmlformats.org/spreadsheetml/2006/main" count="317" uniqueCount="300">
  <si>
    <t>Dates</t>
  </si>
  <si>
    <t>Modules</t>
  </si>
  <si>
    <t>Module 4: Document Parsers + Module 5 (Part 1): LlamaIndex Fundamentals</t>
  </si>
  <si>
    <t>Module 5 (Part 2): LlamaIndex (Document Handling, Indexing, Querying, Hybrid Search)</t>
  </si>
  <si>
    <t>Module 6: Advanced LlamaIndex Techniques (Custom Configurations, Advanced Retrieval, System Integration)</t>
  </si>
  <si>
    <t>Module 7: Haystack (Fundamentals, Core RAG, Advanced Techniques)</t>
  </si>
  <si>
    <t>Module 7 (continued): Haystack Specialized Applications + Module 8 (Part 1): LangGraph Setup &amp; Core Concepts</t>
  </si>
  <si>
    <t>Module 8 (Part 2): LangGraph (Chatbot Development, Advanced Architectures)</t>
  </si>
  <si>
    <t>Module 8 (Part 3): LangGraph Production Features + Module 9: Enhanced RAG Techniques</t>
  </si>
  <si>
    <t>Module 10: Multi-Modal and Structured RAG</t>
  </si>
  <si>
    <t>Module 11: Conversational and Contextual RAG</t>
  </si>
  <si>
    <t>Module 12: Agentic RAG Fundamentals</t>
  </si>
  <si>
    <t>Module 13: Advanced Agentic RAG</t>
  </si>
  <si>
    <t>Module 14: Production RAG Systems + Module 15 (Part 1): Self-RAG &amp; Adaptive Retrieval</t>
  </si>
  <si>
    <t>Module 15 (Part 2): Graph RAG &amp; Fine-Tuning + Module 16: Model Context Protocol (MCP)</t>
  </si>
  <si>
    <t>Project 1: Basic RAG Q&amp;A System with CI/CD Foundation</t>
  </si>
  <si>
    <t>Project 2: Multi-Source RAG with Vector Database</t>
  </si>
  <si>
    <t>Project 3: Hybrid Search RAG with Advanced Chunking</t>
  </si>
  <si>
    <t>Project 4: Multimodal RAG (Text + Images + Audio)</t>
  </si>
  <si>
    <t>Project 5: Smart Code Review &amp; Bug Fix Assistant with MCP</t>
  </si>
  <si>
    <t>Black Friday 2025: AI Services &amp; Tools Discount Guide</t>
  </si>
  <si>
    <t>by Seulki Kang</t>
  </si>
  <si>
    <t>https://www.linkedin.com/in/seulki-kang/</t>
  </si>
  <si>
    <t>Crawled by Genspark AI Sheet</t>
  </si>
  <si>
    <t>Want to try Genspark yourself?</t>
  </si>
  <si>
    <r>
      <t xml:space="preserve">🔗 Get 1,000 free credits: </t>
    </r>
    <r>
      <rPr>
        <rFont val="Arial"/>
        <b/>
        <color rgb="FF1155CC"/>
        <u/>
      </rPr>
      <t>https://www.genspark.ai/invite_member?invite_code=NTQxMmI5M2ZMOTRhMUwyODg2TDhjZmZMNzE3ODRhYmI0Y2Jl</t>
    </r>
  </si>
  <si>
    <r>
      <t xml:space="preserve">🔗 10% discount code: </t>
    </r>
    <r>
      <rPr>
        <rFont val="Arial"/>
        <b/>
        <color rgb="FF1155CC"/>
        <u/>
      </rPr>
      <t>https://www.genspark.ai/?via=seulki875</t>
    </r>
    <r>
      <rPr>
        <rFont val="Arial"/>
        <b/>
      </rPr>
      <t xml:space="preserve"> (US) / </t>
    </r>
    <r>
      <rPr>
        <rFont val="Arial"/>
        <b/>
        <color rgb="FF1155CC"/>
        <u/>
      </rPr>
      <t>https://www.genspark.ai/?via=seulki</t>
    </r>
    <r>
      <rPr>
        <rFont val="Arial"/>
        <b/>
      </rPr>
      <t xml:space="preserve"> (Other Countries)</t>
    </r>
  </si>
  <si>
    <t>Name</t>
  </si>
  <si>
    <t>Description</t>
  </si>
  <si>
    <t>URL</t>
  </si>
  <si>
    <t>Benefits</t>
  </si>
  <si>
    <t>Monthly Plan</t>
  </si>
  <si>
    <t>Annual Plan</t>
  </si>
  <si>
    <t>Notes</t>
  </si>
  <si>
    <t>⭐ Popular AI Services (Discount Info)</t>
  </si>
  <si>
    <t>Perplexity Pro</t>
  </si>
  <si>
    <t>AI search engine, real-time information search</t>
  </si>
  <si>
    <t>https://perplexity.ai</t>
  </si>
  <si>
    <t>50% cashback with PayPal payment (max $50)</t>
  </si>
  <si>
    <t>$20/month</t>
  </si>
  <si>
    <t>$200/year</t>
  </si>
  <si>
    <t>11/25~12/1, PayPal first purchase only</t>
  </si>
  <si>
    <t>Perplexity</t>
  </si>
  <si>
    <t xml:space="preserve">Comet AI Browser </t>
  </si>
  <si>
    <t>https://pplx.ai/</t>
  </si>
  <si>
    <t>1 month free</t>
  </si>
  <si>
    <t>* A year-round discount that isn’t limited to Black Friday. Partnership link.</t>
  </si>
  <si>
    <t>🎬 Latest AI Video/Image Generation Tools</t>
  </si>
  <si>
    <t>GenSpark AI</t>
  </si>
  <si>
    <t>AI search engine and workspace</t>
  </si>
  <si>
    <t>🇺🇸 www.genspark.ai/</t>
  </si>
  <si>
    <t>40% off annual plan</t>
  </si>
  <si>
    <t>$10/month (Plus), $50/month (Pro)</t>
  </si>
  <si>
    <t>Plus annual $100 off, Pro annual $1,000 off</t>
  </si>
  <si>
    <t>11/27~12/1, for free users</t>
  </si>
  <si>
    <r>
      <rPr>
        <rFont val="Arial"/>
        <color rgb="FF1155CC"/>
        <u/>
      </rPr>
      <t xml:space="preserve">🌎 </t>
    </r>
    <r>
      <rPr>
        <rFont val="Arial"/>
        <color rgb="FF1155CC"/>
        <u/>
      </rPr>
      <t>https://www.genspark.ai/</t>
    </r>
  </si>
  <si>
    <t>Kling AI</t>
  </si>
  <si>
    <t>AI video generation (China Kuaishou)</t>
  </si>
  <si>
    <t>https://klingai.com</t>
  </si>
  <si>
    <t>Annual plan 50% off + 40% bonus credits</t>
  </si>
  <si>
    <t>$9.99/month (Standard), $29.99/month (Pro)</t>
  </si>
  <si>
    <t>First year 50% off</t>
  </si>
  <si>
    <t>2.5 Turbo model access, unlimited queue</t>
  </si>
  <si>
    <t>ElevenLabs</t>
  </si>
  <si>
    <t>AI voice generation and cloning (highest quality)</t>
  </si>
  <si>
    <t>https://elevenlabs.io</t>
  </si>
  <si>
    <t>Starter plan $1 (first month)</t>
  </si>
  <si>
    <t>$1 (first month), then regular price</t>
  </si>
  <si>
    <t>Annual plan 2 months free</t>
  </si>
  <si>
    <t>For YouTubers/filmmakers, ~12/1</t>
  </si>
  <si>
    <t>Leonardo AI</t>
  </si>
  <si>
    <t>AI image generation (for games/design)</t>
  </si>
  <si>
    <t>https://leonardo.ai</t>
  </si>
  <si>
    <t>Paid plans 20% off</t>
  </si>
  <si>
    <t>$10/month (Artisan), $24/month (Maestro)</t>
  </si>
  <si>
    <t>Annual plan 20% off</t>
  </si>
  <si>
    <r>
      <rPr>
        <rFont val="Arial"/>
        <color theme="1"/>
      </rPr>
      <t>Fine-tuning, asset packs included. (</t>
    </r>
    <r>
      <rPr>
        <rFont val="Arial"/>
        <color rgb="FFFF0000"/>
      </rPr>
      <t>Not a Black Friday Deal</t>
    </r>
    <r>
      <rPr>
        <rFont val="Arial"/>
        <color theme="1"/>
      </rPr>
      <t>)</t>
    </r>
  </si>
  <si>
    <t>🎵 Music/Coding/SEO/Editing AI Tools</t>
  </si>
  <si>
    <t>Suno AI</t>
  </si>
  <si>
    <t>AI music generation (text→music)</t>
  </si>
  <si>
    <t>https://suno.ai</t>
  </si>
  <si>
    <t>Annual plan 40% off</t>
  </si>
  <si>
    <t>$10/month (Pro), $30/month (Premier)</t>
  </si>
  <si>
    <t>Pro/Premier annual 40% off</t>
  </si>
  <si>
    <t>11/24~12/1, v5 and Studio access</t>
  </si>
  <si>
    <t>Replit AI</t>
  </si>
  <si>
    <t>AI coding platform (browser IDE)</t>
  </si>
  <si>
    <t>https://replit.com</t>
  </si>
  <si>
    <t>Annual plan 60% off + Free Fast mode (limited time)</t>
  </si>
  <si>
    <t>$25/month → $10/month (annual payment)</t>
  </si>
  <si>
    <t>$120/year (60% off)</t>
  </si>
  <si>
    <t>11/27~12/1, Replit Core + Agent included | ⚡ Fast mode 100% free (from 11/19, limited time)</t>
  </si>
  <si>
    <t>Writesonic</t>
  </si>
  <si>
    <t>AI content writing and SEO optimization</t>
  </si>
  <si>
    <t>https://writesonic.com</t>
  </si>
  <si>
    <t>Annual plan 20-30% off</t>
  </si>
  <si>
    <t>$16/month (Freelancer), $33/month (Small Team)</t>
  </si>
  <si>
    <t>20-30% off</t>
  </si>
  <si>
    <t>~12/3, AI article writing</t>
  </si>
  <si>
    <t>Surfer SEO</t>
  </si>
  <si>
    <t>AI SEO analysis and content optimization</t>
  </si>
  <si>
    <t>https://surferseo.com</t>
  </si>
  <si>
    <t>Scale plan 25 AI Tracker prompts free</t>
  </si>
  <si>
    <t>$89/month (Essential), $179/month (Scale)</t>
  </si>
  <si>
    <t>20% off + 25 AI Tracker ($95 value)</t>
  </si>
  <si>
    <t>~12/2, for Essential/Scale plans</t>
  </si>
  <si>
    <t>CapCut Pro</t>
  </si>
  <si>
    <t>AI video editing (ByteDance)</t>
  </si>
  <si>
    <t>https://capcut.com</t>
  </si>
  <si>
    <t>Desktop only 40% off</t>
  </si>
  <si>
    <t>$9.99/month</t>
  </si>
  <si>
    <t>For first-time users, AI design/video tools</t>
  </si>
  <si>
    <t>Descript</t>
  </si>
  <si>
    <t>AI video editing</t>
  </si>
  <si>
    <t>https://web.descript.com/</t>
  </si>
  <si>
    <t>Annual plan + 1,000 AI credits + 10 media hours free</t>
  </si>
  <si>
    <t>$12/month (Hobbyist), $24/month (Creator)</t>
  </si>
  <si>
    <t>About 35% off</t>
  </si>
  <si>
    <t>Until 12/1</t>
  </si>
  <si>
    <t>InVideo AI</t>
  </si>
  <si>
    <t>AI video generation (template-based)</t>
  </si>
  <si>
    <t>https://invideo.io</t>
  </si>
  <si>
    <t>Annual plan 60-70% off</t>
  </si>
  <si>
    <t>$20/month (Plus), $60/month (Max)</t>
  </si>
  <si>
    <t>Up to 70% off</t>
  </si>
  <si>
    <t>Templates, premium media, auto TTS</t>
  </si>
  <si>
    <t>Murf AI</t>
  </si>
  <si>
    <t>AI voiceover generation</t>
  </si>
  <si>
    <t>https://murf.ai</t>
  </si>
  <si>
    <t>Annual plan 25% off</t>
  </si>
  <si>
    <t>$19/month (Basic), $26/month (Pro)</t>
  </si>
  <si>
    <t>25% off (code: BFSPL25)</t>
  </si>
  <si>
    <t>Studio quality voiceovers</t>
  </si>
  <si>
    <t>Beautiful.ai</t>
  </si>
  <si>
    <t>AI presentation design tool</t>
  </si>
  <si>
    <t>https://beautiful.ai</t>
  </si>
  <si>
    <t>30% off</t>
  </si>
  <si>
    <t>$12/month (Pro)</t>
  </si>
  <si>
    <t>30% off (code: BLACKFRIDAY30)</t>
  </si>
  <si>
    <t>Automatic layout design</t>
  </si>
  <si>
    <t>Other Services</t>
  </si>
  <si>
    <t>Jasper AI</t>
  </si>
  <si>
    <t>AI content writing tool, for bloggers/marketers</t>
  </si>
  <si>
    <t>https://jasper.ai</t>
  </si>
  <si>
    <t>$49/month (Creator), $125/month (Pro)</t>
  </si>
  <si>
    <t>Regular price $990 → about $594 (with 40% off)</t>
  </si>
  <si>
    <t>Unlimited AI content generation</t>
  </si>
  <si>
    <t>Copy.ai</t>
  </si>
  <si>
    <t>AI copywriting tool for sales/marketing teams</t>
  </si>
  <si>
    <t>https://copy.ai</t>
  </si>
  <si>
    <t>Annual plan up to 60% off</t>
  </si>
  <si>
    <t>$49/month (Pro)</t>
  </si>
  <si>
    <t>Pro plan about $259 discount</t>
  </si>
  <si>
    <t>Past maximum 60% discount offered</t>
  </si>
  <si>
    <t>Grammarly Premium</t>
  </si>
  <si>
    <t>AI grammar correction and writing tool</t>
  </si>
  <si>
    <t>https://grammarly.com</t>
  </si>
  <si>
    <t>Premium plan 50% off</t>
  </si>
  <si>
    <t>$12/month</t>
  </si>
  <si>
    <t>Annual plan 50% off</t>
  </si>
  <si>
    <t>11/18~12/6</t>
  </si>
  <si>
    <t>Adobe Creative Cloud</t>
  </si>
  <si>
    <t>Photoshop, Illustrator, and 20+ creative apps</t>
  </si>
  <si>
    <t>https://adobe.com</t>
  </si>
  <si>
    <t>All apps 50% off</t>
  </si>
  <si>
    <t>Monthly 39,000 won → about 19,500 won</t>
  </si>
  <si>
    <t>About 50% off</t>
  </si>
  <si>
    <t>Includes generative AI Firefly</t>
  </si>
  <si>
    <t>Mem.ai</t>
  </si>
  <si>
    <t>AI workspace (notes, tasks, email)</t>
  </si>
  <si>
    <t>https://mem.ai</t>
  </si>
  <si>
    <t>Standard plan first 2 months 50% off</t>
  </si>
  <si>
    <t>$15/month</t>
  </si>
  <si>
    <t>50% off (code: BLACKFRIDAY25)</t>
  </si>
  <si>
    <t>First 2 months only</t>
  </si>
  <si>
    <t>Durable AI</t>
  </si>
  <si>
    <t>AI website builder</t>
  </si>
  <si>
    <t>https://durable.co</t>
  </si>
  <si>
    <t>Up to 85% off + 2 months free</t>
  </si>
  <si>
    <t>$12/month (Starter)</t>
  </si>
  <si>
    <t>85% off</t>
  </si>
  <si>
    <t>SEO optimized sites</t>
  </si>
  <si>
    <t>Content at Scale</t>
  </si>
  <si>
    <t>AI writing and SEO article generation</t>
  </si>
  <si>
    <t>https://contentatscale.ai</t>
  </si>
  <si>
    <t>$250/month (Solo)</t>
  </si>
  <si>
    <t>40% off</t>
  </si>
  <si>
    <t>Apollo.io</t>
  </si>
  <si>
    <t>Email discovery and sales automation</t>
  </si>
  <si>
    <t>https://apollo.io</t>
  </si>
  <si>
    <t>Annual 50% / 6-month 30% / 3-month 10%</t>
  </si>
  <si>
    <t>$49/month (Basic), $79/month (Professional)</t>
  </si>
  <si>
    <t>Annual plan 50% (code: BLACKFRIDAY)</t>
  </si>
  <si>
    <t>Until 12/3</t>
  </si>
  <si>
    <t>OpusClip</t>
  </si>
  <si>
    <t>AI video repurposing (short-form creation)</t>
  </si>
  <si>
    <t>https://opus.pro</t>
  </si>
  <si>
    <t>Annual Pro plan 65% off</t>
  </si>
  <si>
    <t>Monthly plan first month 50% off</t>
  </si>
  <si>
    <t>Annual Pro 65% off</t>
  </si>
  <si>
    <t>For YouTubers/marketers</t>
  </si>
  <si>
    <t>HeyGen</t>
  </si>
  <si>
    <t>AI video generation (script→video)</t>
  </si>
  <si>
    <t>https://heygen.com</t>
  </si>
  <si>
    <t>50% off + 2,400 credits</t>
  </si>
  <si>
    <t>$29/month (Creator), $89/month (Business)</t>
  </si>
  <si>
    <t>50% (code: BLACKFRIDAY2025)</t>
  </si>
  <si>
    <t>Fliki AI</t>
  </si>
  <si>
    <t>AI text→video, text→voice</t>
  </si>
  <si>
    <t>https://fliki.ai</t>
  </si>
  <si>
    <t>$28/month (Standard), $88/month (Premium)</t>
  </si>
  <si>
    <t>50% (code: FLIKIBLACKFRIDAY50)</t>
  </si>
  <si>
    <t>Relevance AI</t>
  </si>
  <si>
    <t>AI agent builder (no coding required)</t>
  </si>
  <si>
    <t>https://relevanceai.com</t>
  </si>
  <si>
    <t>Annual plan 60% off</t>
  </si>
  <si>
    <t>$39/month (Pro), $99/month (Business)</t>
  </si>
  <si>
    <t>60% (code: BLACKFRIDAY25)</t>
  </si>
  <si>
    <t>Runway ML</t>
  </si>
  <si>
    <t>AI image/video generation</t>
  </si>
  <si>
    <t>https://runwayml.com</t>
  </si>
  <si>
    <t>$12/month (Standard)</t>
  </si>
  <si>
    <t>$28/month (Pro)</t>
  </si>
  <si>
    <t>No Black Friday tradition, 20% off with annual payment</t>
  </si>
  <si>
    <t>Adobe Audition</t>
  </si>
  <si>
    <t>AI voice and audio editing</t>
  </si>
  <si>
    <t>https://adobe.com/audition</t>
  </si>
  <si>
    <t>Annual plan 25% off (first year)</t>
  </si>
  <si>
    <t>$22.99/month</t>
  </si>
  <si>
    <t>First year 25% off (auto-applied)</t>
  </si>
  <si>
    <t>Until 12/31</t>
  </si>
  <si>
    <t>Beehiiv</t>
  </si>
  <si>
    <t>Newsletter platform (growth tools)</t>
  </si>
  <si>
    <t>https://beehiiv.com</t>
  </si>
  <si>
    <t>20% off</t>
  </si>
  <si>
    <t>$39/month (Scale), $99/month (Max)</t>
  </si>
  <si>
    <t>20% (code: 2025BFCM)</t>
  </si>
  <si>
    <t>Reply.io</t>
  </si>
  <si>
    <t>AI sales automation platform</t>
  </si>
  <si>
    <t>https://reply.io</t>
  </si>
  <si>
    <t>$60/month (Starter), $90/month (Professional)</t>
  </si>
  <si>
    <t>40% (code: REPLY40)</t>
  </si>
  <si>
    <t>Until 12/5</t>
  </si>
  <si>
    <t>10Web</t>
  </si>
  <si>
    <t>https://10web.io</t>
  </si>
  <si>
    <t>2 years for the price of 1</t>
  </si>
  <si>
    <t>$10/month (Starter), $24/month (Premium)</t>
  </si>
  <si>
    <t>2 years provided (1 year price)</t>
  </si>
  <si>
    <t>Riverside.fm</t>
  </si>
  <si>
    <t>AI podcast production platform</t>
  </si>
  <si>
    <t>https://riverside.fm</t>
  </si>
  <si>
    <t>Pro 20% / Business 30% off</t>
  </si>
  <si>
    <t>$19/month (Pro), $49/month (Business)</t>
  </si>
  <si>
    <t>Pro: 20% (code: BLACKFRIDAY2025PRO)</t>
  </si>
  <si>
    <t>Until 12/2</t>
  </si>
  <si>
    <t>QuillBot Premium</t>
  </si>
  <si>
    <t>AI sentence rewriting/paraphrasing</t>
  </si>
  <si>
    <t>https://quillbot.com</t>
  </si>
  <si>
    <t>Annual premium 40% off</t>
  </si>
  <si>
    <t>$9.95/month</t>
  </si>
  <si>
    <t>Mailchimp</t>
  </si>
  <si>
    <t>AI email marketing automation</t>
  </si>
  <si>
    <t>https://mailchimp.com</t>
  </si>
  <si>
    <t>All paid plans up to 30% off</t>
  </si>
  <si>
    <t>$13/month (Essentials), $20/month (Standard)</t>
  </si>
  <si>
    <t>Up to 30% (no code required)</t>
  </si>
  <si>
    <t>Until 12/4</t>
  </si>
  <si>
    <t>Poe.com</t>
  </si>
  <si>
    <t>1,500+ AI tools integration platform</t>
  </si>
  <si>
    <t>https://poe.com</t>
  </si>
  <si>
    <t>Monthly $15 (regular $49)</t>
  </si>
  <si>
    <t>Includes ChatGPT, MidJourney, Claude, etc.</t>
  </si>
  <si>
    <t>Intercom</t>
  </si>
  <si>
    <t>AI customer service platform</t>
  </si>
  <si>
    <t>https://intercom.com</t>
  </si>
  <si>
    <t>Professional/Enterprise plans 30% off (first year)</t>
  </si>
  <si>
    <t>$74/month (Professional)</t>
  </si>
  <si>
    <t>First year 30% off</t>
  </si>
  <si>
    <t>For new customers</t>
  </si>
  <si>
    <t>Drift</t>
  </si>
  <si>
    <t>AI customer communication platform</t>
  </si>
  <si>
    <t>https://drift.com</t>
  </si>
  <si>
    <t>Starter/Pro plans 25% off (first year)</t>
  </si>
  <si>
    <t>$2,500/month (Premium)</t>
  </si>
  <si>
    <t>First year 25% off</t>
  </si>
  <si>
    <t xml:space="preserve">Alter </t>
  </si>
  <si>
    <t>MacOS AI assistant that undestand your screen and your voice</t>
  </si>
  <si>
    <t>https://alterhq.com/</t>
  </si>
  <si>
    <t>$99 lifetime deal (-70%)</t>
  </si>
  <si>
    <t>$240/year</t>
  </si>
  <si>
    <t>$720</t>
  </si>
  <si>
    <t>Tagshop AI</t>
  </si>
  <si>
    <t>Helps performance marketers, brand managers and dropshippers to create realistic ugc style video ads quickly and in a cost-effective way</t>
  </si>
  <si>
    <t>https://tagshop.ai/</t>
  </si>
  <si>
    <t>60% off on all the annual plans</t>
  </si>
  <si>
    <t>$29/month</t>
  </si>
  <si>
    <t>$132/year</t>
  </si>
  <si>
    <t>Until 12/7</t>
  </si>
  <si>
    <t>✅ Total 39 AI Services (Discounts Available) | Discount Range 20%~85% | Black Friday 2025 (11/28)</t>
  </si>
  <si>
    <t>📝 Fact-Checked: All discount information verified from official sources as of November 28,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</si>
</sst>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b/>
      <sz val="18.0"/>
      <color rgb="FF1F4E78"/>
      <name val="Arial"/>
    </font>
    <font>
      <color theme="1"/>
      <name val="Arial"/>
    </font>
    <font>
      <u/>
      <color rgb="FF1155CC"/>
      <name val="Arial"/>
    </font>
    <font>
      <b/>
      <color theme="1"/>
      <name val="Arial"/>
    </font>
    <font>
      <b/>
      <u/>
      <color rgb="FF0000FF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D9E2F3"/>
        <bgColor rgb="FFD9E2F3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0" fillId="3" fontId="5" numFmtId="0" xfId="0" applyAlignment="1" applyFill="1" applyFont="1">
      <alignment horizontal="center" vertical="top"/>
    </xf>
    <xf borderId="2" fillId="0" fontId="5" numFmtId="0" xfId="0" applyAlignment="1" applyBorder="1" applyFont="1">
      <alignment vertical="top"/>
    </xf>
    <xf borderId="2" fillId="4" fontId="5" numFmtId="0" xfId="0" applyAlignment="1" applyBorder="1" applyFill="1" applyFont="1">
      <alignment vertical="top"/>
    </xf>
    <xf borderId="2" fillId="0" fontId="9" numFmtId="0" xfId="0" applyBorder="1" applyFont="1"/>
    <xf borderId="3" fillId="0" fontId="9" numFmtId="0" xfId="0" applyBorder="1" applyFont="1"/>
    <xf borderId="4" fillId="0" fontId="5" numFmtId="0" xfId="0" applyAlignment="1" applyBorder="1" applyFont="1">
      <alignment vertical="top"/>
    </xf>
    <xf borderId="3" fillId="5" fontId="5" numFmtId="0" xfId="0" applyAlignment="1" applyBorder="1" applyFill="1" applyFont="1">
      <alignment vertical="bottom"/>
    </xf>
    <xf borderId="5" fillId="5" fontId="5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6" fontId="5" numFmtId="0" xfId="0" applyAlignment="1" applyFill="1" applyFont="1">
      <alignment vertical="top"/>
    </xf>
    <xf borderId="0" fillId="6" fontId="11" numFmtId="0" xfId="0" applyAlignment="1" applyFont="1">
      <alignment vertical="top"/>
    </xf>
    <xf borderId="2" fillId="6" fontId="5" numFmtId="0" xfId="0" applyAlignment="1" applyBorder="1" applyFont="1">
      <alignment vertical="top"/>
    </xf>
    <xf borderId="2" fillId="6" fontId="12" numFmtId="0" xfId="0" applyAlignment="1" applyBorder="1" applyFont="1">
      <alignment vertical="top"/>
    </xf>
    <xf borderId="5" fillId="7" fontId="5" numFmtId="0" xfId="0" applyAlignment="1" applyBorder="1" applyFill="1" applyFont="1">
      <alignment vertical="top"/>
    </xf>
    <xf borderId="3" fillId="7" fontId="5" numFmtId="0" xfId="0" applyAlignment="1" applyBorder="1" applyFont="1">
      <alignment vertical="top"/>
    </xf>
    <xf borderId="3" fillId="7" fontId="13" numFmtId="0" xfId="0" applyAlignment="1" applyBorder="1" applyFont="1">
      <alignment vertical="top"/>
    </xf>
    <xf borderId="2" fillId="7" fontId="5" numFmtId="0" xfId="0" applyAlignment="1" applyBorder="1" applyFont="1">
      <alignment vertical="top"/>
    </xf>
    <xf borderId="3" fillId="7" fontId="5" numFmtId="0" xfId="0" applyAlignment="1" applyBorder="1" applyFont="1">
      <alignment shrinkToFit="0" vertical="top" wrapText="1"/>
    </xf>
    <xf borderId="5" fillId="7" fontId="14" numFmtId="0" xfId="0" applyAlignment="1" applyBorder="1" applyFont="1">
      <alignment vertical="top"/>
    </xf>
    <xf borderId="5" fillId="3" fontId="5" numFmtId="0" xfId="0" applyAlignment="1" applyBorder="1" applyFont="1">
      <alignment vertical="top"/>
    </xf>
    <xf borderId="3" fillId="3" fontId="5" numFmtId="0" xfId="0" applyAlignment="1" applyBorder="1" applyFont="1">
      <alignment vertical="top"/>
    </xf>
    <xf borderId="3" fillId="3" fontId="15" numFmtId="0" xfId="0" applyAlignment="1" applyBorder="1" applyFont="1">
      <alignment vertical="top"/>
    </xf>
    <xf borderId="5" fillId="0" fontId="16" numFmtId="0" xfId="0" applyAlignment="1" applyBorder="1" applyFont="1">
      <alignment vertical="top"/>
    </xf>
    <xf borderId="3" fillId="0" fontId="5" numFmtId="0" xfId="0" applyAlignment="1" applyBorder="1" applyFont="1">
      <alignment vertical="top"/>
    </xf>
    <xf borderId="3" fillId="0" fontId="17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5" fillId="3" fontId="18" numFmtId="0" xfId="0" applyAlignment="1" applyBorder="1" applyFont="1">
      <alignment vertical="top"/>
    </xf>
    <xf borderId="2" fillId="0" fontId="19" numFmtId="0" xfId="0" applyAlignment="1" applyBorder="1" applyFont="1">
      <alignment vertical="bottom"/>
    </xf>
    <xf borderId="2" fillId="8" fontId="5" numFmtId="0" xfId="0" applyAlignment="1" applyBorder="1" applyFill="1" applyFont="1">
      <alignment vertical="top"/>
    </xf>
    <xf borderId="0" fillId="8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ply.io" TargetMode="External"/><Relationship Id="rId42" Type="http://schemas.openxmlformats.org/officeDocument/2006/relationships/hyperlink" Target="http://riverside.fm" TargetMode="External"/><Relationship Id="rId41" Type="http://schemas.openxmlformats.org/officeDocument/2006/relationships/hyperlink" Target="https://10web.io" TargetMode="External"/><Relationship Id="rId44" Type="http://schemas.openxmlformats.org/officeDocument/2006/relationships/hyperlink" Target="https://quillbot.com" TargetMode="External"/><Relationship Id="rId43" Type="http://schemas.openxmlformats.org/officeDocument/2006/relationships/hyperlink" Target="https://riverside.fm" TargetMode="External"/><Relationship Id="rId46" Type="http://schemas.openxmlformats.org/officeDocument/2006/relationships/hyperlink" Target="http://poe.com" TargetMode="External"/><Relationship Id="rId45" Type="http://schemas.openxmlformats.org/officeDocument/2006/relationships/hyperlink" Target="https://mailchimp.com" TargetMode="External"/><Relationship Id="rId1" Type="http://schemas.openxmlformats.org/officeDocument/2006/relationships/hyperlink" Target="https://www.linkedin.com/in/seulki-kang/" TargetMode="External"/><Relationship Id="rId2" Type="http://schemas.openxmlformats.org/officeDocument/2006/relationships/hyperlink" Target="https://www.genspark.ai/invite_member?invite_code=NTQxMmI5M2ZMOTRhMUwyODg2TDhjZmZMNzE3ODRhYmI0Y2Jl" TargetMode="External"/><Relationship Id="rId3" Type="http://schemas.openxmlformats.org/officeDocument/2006/relationships/hyperlink" Target="https://www.genspark.ai/?via=seulki875" TargetMode="External"/><Relationship Id="rId4" Type="http://schemas.openxmlformats.org/officeDocument/2006/relationships/hyperlink" Target="https://www.perplexity.ai/join/p/paypal-subscription?media_id=3769892069868259701_63091332886&amp;media_author_id=63091332886&amp;source_quote_media_id=3773314617939284206&amp;utm_source=ig_text_post_permalink" TargetMode="External"/><Relationship Id="rId9" Type="http://schemas.openxmlformats.org/officeDocument/2006/relationships/hyperlink" Target="https://elevenlabs.io" TargetMode="External"/><Relationship Id="rId48" Type="http://schemas.openxmlformats.org/officeDocument/2006/relationships/hyperlink" Target="https://intercom.com" TargetMode="External"/><Relationship Id="rId47" Type="http://schemas.openxmlformats.org/officeDocument/2006/relationships/hyperlink" Target="https://poe.com" TargetMode="External"/><Relationship Id="rId49" Type="http://schemas.openxmlformats.org/officeDocument/2006/relationships/hyperlink" Target="https://drift.com" TargetMode="External"/><Relationship Id="rId5" Type="http://schemas.openxmlformats.org/officeDocument/2006/relationships/hyperlink" Target="https://pplx.ai/seulgi-kang" TargetMode="External"/><Relationship Id="rId6" Type="http://schemas.openxmlformats.org/officeDocument/2006/relationships/hyperlink" Target="https://www.genspark.ai/?via=seulki875" TargetMode="External"/><Relationship Id="rId7" Type="http://schemas.openxmlformats.org/officeDocument/2006/relationships/hyperlink" Target="https://www.genspark.ai/?via=seulki" TargetMode="External"/><Relationship Id="rId8" Type="http://schemas.openxmlformats.org/officeDocument/2006/relationships/hyperlink" Target="https://klingai.com" TargetMode="External"/><Relationship Id="rId31" Type="http://schemas.openxmlformats.org/officeDocument/2006/relationships/hyperlink" Target="https://apollo.io" TargetMode="External"/><Relationship Id="rId30" Type="http://schemas.openxmlformats.org/officeDocument/2006/relationships/hyperlink" Target="http://apollo.io" TargetMode="External"/><Relationship Id="rId33" Type="http://schemas.openxmlformats.org/officeDocument/2006/relationships/hyperlink" Target="https://heygen.com" TargetMode="External"/><Relationship Id="rId32" Type="http://schemas.openxmlformats.org/officeDocument/2006/relationships/hyperlink" Target="https://opus.pro" TargetMode="External"/><Relationship Id="rId35" Type="http://schemas.openxmlformats.org/officeDocument/2006/relationships/hyperlink" Target="https://relevanceai.com" TargetMode="External"/><Relationship Id="rId34" Type="http://schemas.openxmlformats.org/officeDocument/2006/relationships/hyperlink" Target="https://fliki.ai" TargetMode="External"/><Relationship Id="rId37" Type="http://schemas.openxmlformats.org/officeDocument/2006/relationships/hyperlink" Target="https://adobe.com/audition" TargetMode="External"/><Relationship Id="rId36" Type="http://schemas.openxmlformats.org/officeDocument/2006/relationships/hyperlink" Target="https://runwayml.com" TargetMode="External"/><Relationship Id="rId39" Type="http://schemas.openxmlformats.org/officeDocument/2006/relationships/hyperlink" Target="http://reply.io" TargetMode="External"/><Relationship Id="rId38" Type="http://schemas.openxmlformats.org/officeDocument/2006/relationships/hyperlink" Target="https://beehiiv.com" TargetMode="External"/><Relationship Id="rId20" Type="http://schemas.openxmlformats.org/officeDocument/2006/relationships/hyperlink" Target="https://beautiful.ai" TargetMode="External"/><Relationship Id="rId22" Type="http://schemas.openxmlformats.org/officeDocument/2006/relationships/hyperlink" Target="http://copy.ai" TargetMode="External"/><Relationship Id="rId21" Type="http://schemas.openxmlformats.org/officeDocument/2006/relationships/hyperlink" Target="https://jasper.ai" TargetMode="External"/><Relationship Id="rId24" Type="http://schemas.openxmlformats.org/officeDocument/2006/relationships/hyperlink" Target="https://grammarly.com" TargetMode="External"/><Relationship Id="rId23" Type="http://schemas.openxmlformats.org/officeDocument/2006/relationships/hyperlink" Target="https://copy.ai" TargetMode="External"/><Relationship Id="rId26" Type="http://schemas.openxmlformats.org/officeDocument/2006/relationships/hyperlink" Target="http://mem.ai" TargetMode="External"/><Relationship Id="rId25" Type="http://schemas.openxmlformats.org/officeDocument/2006/relationships/hyperlink" Target="https://adobe.com" TargetMode="External"/><Relationship Id="rId28" Type="http://schemas.openxmlformats.org/officeDocument/2006/relationships/hyperlink" Target="https://durable.co" TargetMode="External"/><Relationship Id="rId27" Type="http://schemas.openxmlformats.org/officeDocument/2006/relationships/hyperlink" Target="https://mem.ai" TargetMode="External"/><Relationship Id="rId29" Type="http://schemas.openxmlformats.org/officeDocument/2006/relationships/hyperlink" Target="https://contentatscale.ai" TargetMode="External"/><Relationship Id="rId51" Type="http://schemas.openxmlformats.org/officeDocument/2006/relationships/hyperlink" Target="https://tagshop.ai/?utm_source=Reddit_comment&amp;utm_medium=Reddit&amp;utm_campaign=AI_Black_Friday_Deals_2025_Comprehensive_List" TargetMode="External"/><Relationship Id="rId50" Type="http://schemas.openxmlformats.org/officeDocument/2006/relationships/hyperlink" Target="https://alterhq.com/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suno.ai" TargetMode="External"/><Relationship Id="rId10" Type="http://schemas.openxmlformats.org/officeDocument/2006/relationships/hyperlink" Target="https://leonardo.ai" TargetMode="External"/><Relationship Id="rId13" Type="http://schemas.openxmlformats.org/officeDocument/2006/relationships/hyperlink" Target="https://writesonic.com" TargetMode="External"/><Relationship Id="rId12" Type="http://schemas.openxmlformats.org/officeDocument/2006/relationships/hyperlink" Target="https://replit.com" TargetMode="External"/><Relationship Id="rId15" Type="http://schemas.openxmlformats.org/officeDocument/2006/relationships/hyperlink" Target="https://capcut.com" TargetMode="External"/><Relationship Id="rId14" Type="http://schemas.openxmlformats.org/officeDocument/2006/relationships/hyperlink" Target="https://surferseo.com" TargetMode="External"/><Relationship Id="rId17" Type="http://schemas.openxmlformats.org/officeDocument/2006/relationships/hyperlink" Target="https://invideo.io" TargetMode="External"/><Relationship Id="rId16" Type="http://schemas.openxmlformats.org/officeDocument/2006/relationships/hyperlink" Target="https://descript.cello.so/fUIXV82iBOo" TargetMode="External"/><Relationship Id="rId19" Type="http://schemas.openxmlformats.org/officeDocument/2006/relationships/hyperlink" Target="http://beautiful.ai" TargetMode="External"/><Relationship Id="rId18" Type="http://schemas.openxmlformats.org/officeDocument/2006/relationships/hyperlink" Target="https://murf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84.88"/>
    <col customWidth="1" min="3" max="3" width="23.75"/>
    <col customWidth="1" min="7" max="7" width="34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tr">
        <f>IFERROR(__xludf.DUMMYFUNCTION("ARRAYFORMULA(
  TEXT(
    FILTER(
      SEQUENCE(DATE(2026,4,14)-DATE(2025,11,1)+1,1,DATE(2025,11,1),1),
      WEEKDAY(SEQUENCE(DATE(2026,4,14)-DATE(2025,11,1)+1,1,DATE(2025,11,1),1))=1
    ),
    ""d mmmm yyyy""
  )
)"),"2 November 2025")</f>
        <v>2 November 2025</v>
      </c>
      <c r="B2" s="3"/>
    </row>
    <row r="3">
      <c r="A3" s="3" t="str">
        <f>IFERROR(__xludf.DUMMYFUNCTION("""COMPUTED_VALUE"""),"9 November 2025")</f>
        <v>9 November 2025</v>
      </c>
      <c r="B3" s="3"/>
    </row>
    <row r="4">
      <c r="A4" s="3" t="str">
        <f>IFERROR(__xludf.DUMMYFUNCTION("""COMPUTED_VALUE"""),"16 November 2025")</f>
        <v>16 November 2025</v>
      </c>
      <c r="B4" s="3"/>
    </row>
    <row r="5">
      <c r="A5" s="3" t="str">
        <f>IFERROR(__xludf.DUMMYFUNCTION("""COMPUTED_VALUE"""),"23 November 2025")</f>
        <v>23 November 2025</v>
      </c>
      <c r="B5" s="3"/>
    </row>
    <row r="6">
      <c r="A6" s="3" t="str">
        <f>IFERROR(__xludf.DUMMYFUNCTION("""COMPUTED_VALUE"""),"30 November 2025")</f>
        <v>30 November 2025</v>
      </c>
      <c r="B6" s="3"/>
    </row>
    <row r="7">
      <c r="A7" s="3" t="str">
        <f>IFERROR(__xludf.DUMMYFUNCTION("""COMPUTED_VALUE"""),"7 December 2025")</f>
        <v>7 December 2025</v>
      </c>
      <c r="B7" s="4" t="s">
        <v>2</v>
      </c>
    </row>
    <row r="8">
      <c r="A8" s="3" t="str">
        <f>IFERROR(__xludf.DUMMYFUNCTION("""COMPUTED_VALUE"""),"14 December 2025")</f>
        <v>14 December 2025</v>
      </c>
      <c r="B8" s="4" t="s">
        <v>3</v>
      </c>
    </row>
    <row r="9">
      <c r="A9" s="3" t="str">
        <f>IFERROR(__xludf.DUMMYFUNCTION("""COMPUTED_VALUE"""),"21 December 2025")</f>
        <v>21 December 2025</v>
      </c>
      <c r="B9" s="4" t="s">
        <v>4</v>
      </c>
    </row>
    <row r="10">
      <c r="A10" s="3" t="str">
        <f>IFERROR(__xludf.DUMMYFUNCTION("""COMPUTED_VALUE"""),"28 December 2025")</f>
        <v>28 December 2025</v>
      </c>
      <c r="B10" s="4" t="s">
        <v>5</v>
      </c>
    </row>
    <row r="11">
      <c r="A11" s="3" t="str">
        <f>IFERROR(__xludf.DUMMYFUNCTION("""COMPUTED_VALUE"""),"4 January 2026")</f>
        <v>4 January 2026</v>
      </c>
      <c r="B11" s="4" t="s">
        <v>6</v>
      </c>
    </row>
    <row r="12">
      <c r="A12" s="3" t="str">
        <f>IFERROR(__xludf.DUMMYFUNCTION("""COMPUTED_VALUE"""),"11 January 2026")</f>
        <v>11 January 2026</v>
      </c>
      <c r="B12" s="4" t="s">
        <v>7</v>
      </c>
    </row>
    <row r="13">
      <c r="A13" s="3" t="str">
        <f>IFERROR(__xludf.DUMMYFUNCTION("""COMPUTED_VALUE"""),"18 January 2026")</f>
        <v>18 January 2026</v>
      </c>
      <c r="B13" s="4" t="s">
        <v>8</v>
      </c>
    </row>
    <row r="14">
      <c r="A14" s="3" t="str">
        <f>IFERROR(__xludf.DUMMYFUNCTION("""COMPUTED_VALUE"""),"25 January 2026")</f>
        <v>25 January 2026</v>
      </c>
      <c r="B14" s="4" t="s">
        <v>9</v>
      </c>
    </row>
    <row r="15">
      <c r="A15" s="3" t="str">
        <f>IFERROR(__xludf.DUMMYFUNCTION("""COMPUTED_VALUE"""),"1 February 2026")</f>
        <v>1 February 2026</v>
      </c>
      <c r="B15" s="4" t="s">
        <v>10</v>
      </c>
    </row>
    <row r="16">
      <c r="A16" s="3" t="str">
        <f>IFERROR(__xludf.DUMMYFUNCTION("""COMPUTED_VALUE"""),"8 February 2026")</f>
        <v>8 February 2026</v>
      </c>
      <c r="B16" s="4" t="s">
        <v>11</v>
      </c>
    </row>
    <row r="17">
      <c r="A17" s="3" t="str">
        <f>IFERROR(__xludf.DUMMYFUNCTION("""COMPUTED_VALUE"""),"15 February 2026")</f>
        <v>15 February 2026</v>
      </c>
      <c r="B17" s="4" t="s">
        <v>12</v>
      </c>
    </row>
    <row r="18">
      <c r="A18" s="3" t="str">
        <f>IFERROR(__xludf.DUMMYFUNCTION("""COMPUTED_VALUE"""),"22 February 2026")</f>
        <v>22 February 2026</v>
      </c>
      <c r="B18" s="4" t="s">
        <v>13</v>
      </c>
    </row>
    <row r="19">
      <c r="A19" s="3" t="str">
        <f>IFERROR(__xludf.DUMMYFUNCTION("""COMPUTED_VALUE"""),"1 March 2026")</f>
        <v>1 March 2026</v>
      </c>
      <c r="B19" s="4" t="s">
        <v>14</v>
      </c>
    </row>
    <row r="20">
      <c r="A20" s="3" t="str">
        <f>IFERROR(__xludf.DUMMYFUNCTION("""COMPUTED_VALUE"""),"8 March 2026")</f>
        <v>8 March 2026</v>
      </c>
      <c r="B20" s="4" t="s">
        <v>15</v>
      </c>
    </row>
    <row r="21">
      <c r="A21" s="3" t="str">
        <f>IFERROR(__xludf.DUMMYFUNCTION("""COMPUTED_VALUE"""),"15 March 2026")</f>
        <v>15 March 2026</v>
      </c>
      <c r="B21" s="4" t="s">
        <v>16</v>
      </c>
    </row>
    <row r="22">
      <c r="A22" s="3" t="str">
        <f>IFERROR(__xludf.DUMMYFUNCTION("""COMPUTED_VALUE"""),"22 March 2026")</f>
        <v>22 March 2026</v>
      </c>
      <c r="B22" s="4" t="s">
        <v>17</v>
      </c>
    </row>
    <row r="23">
      <c r="A23" s="3" t="str">
        <f>IFERROR(__xludf.DUMMYFUNCTION("""COMPUTED_VALUE"""),"29 March 2026")</f>
        <v>29 March 2026</v>
      </c>
      <c r="B23" s="4" t="s">
        <v>18</v>
      </c>
    </row>
    <row r="24">
      <c r="A24" s="3" t="str">
        <f>IFERROR(__xludf.DUMMYFUNCTION("""COMPUTED_VALUE"""),"5 April 2026")</f>
        <v>5 April 2026</v>
      </c>
      <c r="B24" s="4" t="s">
        <v>19</v>
      </c>
    </row>
    <row r="25">
      <c r="A25" s="5" t="str">
        <f>IFERROR(__xludf.DUMMYFUNCTION("""COMPUTED_VALUE"""),"12 April 2026")</f>
        <v>12 April 2026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36.88"/>
    <col customWidth="1" min="3" max="3" width="22.13"/>
    <col customWidth="1" min="4" max="4" width="22.25"/>
    <col customWidth="1" min="5" max="5" width="22.5"/>
    <col customWidth="1" min="6" max="6" width="19.75"/>
    <col customWidth="1" min="7" max="7" width="70.13"/>
  </cols>
  <sheetData>
    <row r="1">
      <c r="A1" s="6" t="s">
        <v>20</v>
      </c>
      <c r="H1" s="7"/>
      <c r="I1" s="7"/>
    </row>
    <row r="2">
      <c r="A2" s="7" t="s">
        <v>21</v>
      </c>
      <c r="B2" s="8" t="s">
        <v>22</v>
      </c>
      <c r="C2" s="7"/>
      <c r="D2" s="7"/>
      <c r="E2" s="7"/>
      <c r="F2" s="7"/>
      <c r="G2" s="7"/>
      <c r="H2" s="7"/>
      <c r="I2" s="7"/>
    </row>
    <row r="3">
      <c r="A3" s="9" t="s">
        <v>23</v>
      </c>
      <c r="B3" s="9"/>
      <c r="C3" s="9"/>
      <c r="D3" s="9"/>
      <c r="E3" s="9"/>
      <c r="F3" s="9"/>
      <c r="G3" s="9"/>
      <c r="H3" s="9"/>
      <c r="I3" s="9"/>
    </row>
    <row r="4">
      <c r="A4" s="9"/>
      <c r="B4" s="9"/>
      <c r="C4" s="9"/>
      <c r="D4" s="9"/>
      <c r="E4" s="9"/>
      <c r="F4" s="9"/>
      <c r="G4" s="9"/>
      <c r="H4" s="9"/>
      <c r="I4" s="9"/>
    </row>
    <row r="5">
      <c r="A5" s="10" t="s">
        <v>24</v>
      </c>
      <c r="B5" s="9"/>
      <c r="C5" s="9"/>
      <c r="D5" s="9"/>
      <c r="E5" s="9"/>
      <c r="F5" s="9"/>
      <c r="G5" s="9"/>
      <c r="H5" s="9"/>
      <c r="I5" s="9"/>
    </row>
    <row r="6">
      <c r="A6" s="11" t="s">
        <v>25</v>
      </c>
      <c r="B6" s="9"/>
      <c r="C6" s="9"/>
      <c r="D6" s="9"/>
      <c r="E6" s="9"/>
      <c r="F6" s="9"/>
      <c r="G6" s="9"/>
      <c r="H6" s="9"/>
      <c r="I6" s="9"/>
    </row>
    <row r="7">
      <c r="A7" s="11" t="s">
        <v>26</v>
      </c>
      <c r="B7" s="9"/>
      <c r="C7" s="9"/>
      <c r="D7" s="9"/>
      <c r="E7" s="9"/>
      <c r="F7" s="9"/>
      <c r="G7" s="9"/>
      <c r="H7" s="9"/>
      <c r="I7" s="9"/>
    </row>
    <row r="8">
      <c r="A8" s="12"/>
      <c r="B8" s="12"/>
      <c r="C8" s="12"/>
      <c r="D8" s="12"/>
      <c r="E8" s="12"/>
      <c r="F8" s="12"/>
      <c r="G8" s="12"/>
      <c r="H8" s="9"/>
      <c r="I8" s="9"/>
    </row>
    <row r="9">
      <c r="A9" s="13" t="s">
        <v>27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7"/>
      <c r="I9" s="14"/>
    </row>
    <row r="10">
      <c r="A10" s="15" t="s">
        <v>34</v>
      </c>
      <c r="B10" s="16"/>
      <c r="C10" s="16"/>
      <c r="D10" s="16"/>
      <c r="E10" s="16"/>
      <c r="F10" s="16"/>
      <c r="G10" s="17"/>
      <c r="H10" s="18"/>
      <c r="I10" s="19"/>
    </row>
    <row r="11">
      <c r="A11" s="20" t="s">
        <v>35</v>
      </c>
      <c r="B11" s="19" t="s">
        <v>36</v>
      </c>
      <c r="C11" s="21" t="s">
        <v>37</v>
      </c>
      <c r="D11" s="19" t="s">
        <v>38</v>
      </c>
      <c r="E11" s="19" t="s">
        <v>39</v>
      </c>
      <c r="F11" s="19" t="s">
        <v>40</v>
      </c>
      <c r="G11" s="19" t="s">
        <v>41</v>
      </c>
      <c r="H11" s="7"/>
      <c r="I11" s="7"/>
    </row>
    <row r="12">
      <c r="A12" s="20" t="s">
        <v>42</v>
      </c>
      <c r="B12" s="19" t="s">
        <v>43</v>
      </c>
      <c r="C12" s="21" t="s">
        <v>44</v>
      </c>
      <c r="D12" s="19" t="s">
        <v>45</v>
      </c>
      <c r="E12" s="19" t="s">
        <v>39</v>
      </c>
      <c r="F12" s="19" t="s">
        <v>40</v>
      </c>
      <c r="G12" s="19" t="s">
        <v>46</v>
      </c>
      <c r="H12" s="7"/>
      <c r="I12" s="7"/>
    </row>
    <row r="13">
      <c r="A13" s="15" t="s">
        <v>47</v>
      </c>
      <c r="B13" s="16"/>
      <c r="C13" s="16"/>
      <c r="D13" s="16"/>
      <c r="E13" s="16"/>
      <c r="F13" s="16"/>
      <c r="G13" s="17"/>
      <c r="H13" s="9"/>
      <c r="I13" s="9"/>
    </row>
    <row r="14">
      <c r="A14" s="22" t="s">
        <v>48</v>
      </c>
      <c r="B14" s="22" t="s">
        <v>49</v>
      </c>
      <c r="C14" s="23" t="s">
        <v>50</v>
      </c>
      <c r="D14" s="22" t="s">
        <v>51</v>
      </c>
      <c r="E14" s="22" t="s">
        <v>52</v>
      </c>
      <c r="F14" s="22" t="s">
        <v>53</v>
      </c>
      <c r="G14" s="22" t="s">
        <v>54</v>
      </c>
      <c r="H14" s="9"/>
      <c r="I14" s="9"/>
    </row>
    <row r="15">
      <c r="A15" s="22"/>
      <c r="B15" s="22"/>
      <c r="C15" s="23" t="s">
        <v>55</v>
      </c>
      <c r="D15" s="22" t="s">
        <v>51</v>
      </c>
      <c r="E15" s="22" t="s">
        <v>52</v>
      </c>
      <c r="F15" s="22" t="s">
        <v>53</v>
      </c>
      <c r="G15" s="22" t="s">
        <v>54</v>
      </c>
      <c r="H15" s="9"/>
      <c r="I15" s="9"/>
    </row>
    <row r="16">
      <c r="A16" s="22" t="s">
        <v>56</v>
      </c>
      <c r="B16" s="22" t="s">
        <v>57</v>
      </c>
      <c r="C16" s="23" t="s">
        <v>58</v>
      </c>
      <c r="D16" s="22" t="s">
        <v>59</v>
      </c>
      <c r="E16" s="22" t="s">
        <v>60</v>
      </c>
      <c r="F16" s="22" t="s">
        <v>61</v>
      </c>
      <c r="G16" s="22" t="s">
        <v>62</v>
      </c>
      <c r="H16" s="9"/>
      <c r="I16" s="9"/>
    </row>
    <row r="17">
      <c r="A17" s="22" t="s">
        <v>63</v>
      </c>
      <c r="B17" s="22" t="s">
        <v>64</v>
      </c>
      <c r="C17" s="23" t="s">
        <v>65</v>
      </c>
      <c r="D17" s="22" t="s">
        <v>66</v>
      </c>
      <c r="E17" s="22" t="s">
        <v>67</v>
      </c>
      <c r="F17" s="22" t="s">
        <v>68</v>
      </c>
      <c r="G17" s="22" t="s">
        <v>69</v>
      </c>
      <c r="H17" s="9"/>
      <c r="I17" s="9"/>
    </row>
    <row r="18">
      <c r="A18" s="24" t="s">
        <v>70</v>
      </c>
      <c r="B18" s="24" t="s">
        <v>71</v>
      </c>
      <c r="C18" s="25" t="s">
        <v>72</v>
      </c>
      <c r="D18" s="24" t="s">
        <v>73</v>
      </c>
      <c r="E18" s="24" t="s">
        <v>74</v>
      </c>
      <c r="F18" s="24" t="s">
        <v>75</v>
      </c>
      <c r="G18" s="24" t="s">
        <v>76</v>
      </c>
      <c r="H18" s="9"/>
      <c r="I18" s="9"/>
    </row>
    <row r="19">
      <c r="A19" s="15" t="s">
        <v>77</v>
      </c>
      <c r="B19" s="16"/>
      <c r="C19" s="16"/>
      <c r="D19" s="16"/>
      <c r="E19" s="16"/>
      <c r="F19" s="16"/>
      <c r="G19" s="17"/>
      <c r="H19" s="9"/>
      <c r="I19" s="9"/>
    </row>
    <row r="20">
      <c r="A20" s="26" t="s">
        <v>78</v>
      </c>
      <c r="B20" s="27" t="s">
        <v>79</v>
      </c>
      <c r="C20" s="28" t="s">
        <v>80</v>
      </c>
      <c r="D20" s="27" t="s">
        <v>81</v>
      </c>
      <c r="E20" s="27" t="s">
        <v>82</v>
      </c>
      <c r="F20" s="27" t="s">
        <v>83</v>
      </c>
      <c r="G20" s="27" t="s">
        <v>84</v>
      </c>
      <c r="H20" s="9"/>
      <c r="I20" s="9"/>
    </row>
    <row r="21">
      <c r="A21" s="26" t="s">
        <v>85</v>
      </c>
      <c r="B21" s="27" t="s">
        <v>86</v>
      </c>
      <c r="C21" s="28" t="s">
        <v>87</v>
      </c>
      <c r="D21" s="27" t="s">
        <v>88</v>
      </c>
      <c r="E21" s="27" t="s">
        <v>89</v>
      </c>
      <c r="F21" s="27" t="s">
        <v>90</v>
      </c>
      <c r="G21" s="29" t="s">
        <v>91</v>
      </c>
      <c r="H21" s="9"/>
      <c r="I21" s="9"/>
    </row>
    <row r="22">
      <c r="A22" s="26" t="s">
        <v>92</v>
      </c>
      <c r="B22" s="27" t="s">
        <v>93</v>
      </c>
      <c r="C22" s="28" t="s">
        <v>94</v>
      </c>
      <c r="D22" s="27" t="s">
        <v>95</v>
      </c>
      <c r="E22" s="27" t="s">
        <v>96</v>
      </c>
      <c r="F22" s="27" t="s">
        <v>97</v>
      </c>
      <c r="G22" s="27" t="s">
        <v>98</v>
      </c>
      <c r="H22" s="9"/>
      <c r="I22" s="9"/>
    </row>
    <row r="23">
      <c r="A23" s="26" t="s">
        <v>99</v>
      </c>
      <c r="B23" s="27" t="s">
        <v>100</v>
      </c>
      <c r="C23" s="28" t="s">
        <v>101</v>
      </c>
      <c r="D23" s="27" t="s">
        <v>102</v>
      </c>
      <c r="E23" s="27" t="s">
        <v>103</v>
      </c>
      <c r="F23" s="27" t="s">
        <v>104</v>
      </c>
      <c r="G23" s="27" t="s">
        <v>105</v>
      </c>
      <c r="H23" s="9"/>
      <c r="I23" s="9"/>
    </row>
    <row r="24">
      <c r="A24" s="26" t="s">
        <v>106</v>
      </c>
      <c r="B24" s="27" t="s">
        <v>107</v>
      </c>
      <c r="C24" s="28" t="s">
        <v>108</v>
      </c>
      <c r="D24" s="27" t="s">
        <v>109</v>
      </c>
      <c r="E24" s="27" t="s">
        <v>110</v>
      </c>
      <c r="F24" s="27" t="s">
        <v>81</v>
      </c>
      <c r="G24" s="27" t="s">
        <v>111</v>
      </c>
      <c r="H24" s="9"/>
      <c r="I24" s="9"/>
    </row>
    <row r="25">
      <c r="A25" s="26" t="s">
        <v>112</v>
      </c>
      <c r="B25" s="27" t="s">
        <v>113</v>
      </c>
      <c r="C25" s="28" t="s">
        <v>114</v>
      </c>
      <c r="D25" s="30" t="s">
        <v>115</v>
      </c>
      <c r="E25" s="27" t="s">
        <v>116</v>
      </c>
      <c r="F25" s="27" t="s">
        <v>117</v>
      </c>
      <c r="G25" s="27" t="s">
        <v>118</v>
      </c>
      <c r="H25" s="9"/>
      <c r="I25" s="9"/>
    </row>
    <row r="26">
      <c r="A26" s="26" t="s">
        <v>119</v>
      </c>
      <c r="B26" s="27" t="s">
        <v>120</v>
      </c>
      <c r="C26" s="28" t="s">
        <v>121</v>
      </c>
      <c r="D26" s="27" t="s">
        <v>122</v>
      </c>
      <c r="E26" s="27" t="s">
        <v>123</v>
      </c>
      <c r="F26" s="27" t="s">
        <v>124</v>
      </c>
      <c r="G26" s="27" t="s">
        <v>125</v>
      </c>
      <c r="H26" s="9"/>
      <c r="I26" s="9"/>
    </row>
    <row r="27">
      <c r="A27" s="26" t="s">
        <v>126</v>
      </c>
      <c r="B27" s="27" t="s">
        <v>127</v>
      </c>
      <c r="C27" s="28" t="s">
        <v>128</v>
      </c>
      <c r="D27" s="27" t="s">
        <v>129</v>
      </c>
      <c r="E27" s="27" t="s">
        <v>130</v>
      </c>
      <c r="F27" s="27" t="s">
        <v>131</v>
      </c>
      <c r="G27" s="27" t="s">
        <v>132</v>
      </c>
      <c r="H27" s="9"/>
      <c r="I27" s="9"/>
    </row>
    <row r="28">
      <c r="A28" s="31" t="s">
        <v>133</v>
      </c>
      <c r="B28" s="27" t="s">
        <v>134</v>
      </c>
      <c r="C28" s="28" t="s">
        <v>135</v>
      </c>
      <c r="D28" s="27" t="s">
        <v>136</v>
      </c>
      <c r="E28" s="27" t="s">
        <v>137</v>
      </c>
      <c r="F28" s="27" t="s">
        <v>138</v>
      </c>
      <c r="G28" s="27" t="s">
        <v>139</v>
      </c>
      <c r="H28" s="9"/>
      <c r="I28" s="9"/>
    </row>
    <row r="29">
      <c r="A29" s="15" t="s">
        <v>140</v>
      </c>
      <c r="B29" s="16"/>
      <c r="C29" s="16"/>
      <c r="D29" s="16"/>
      <c r="E29" s="16"/>
      <c r="F29" s="16"/>
      <c r="G29" s="17"/>
      <c r="H29" s="7"/>
      <c r="I29" s="7"/>
    </row>
    <row r="30">
      <c r="A30" s="32" t="s">
        <v>141</v>
      </c>
      <c r="B30" s="33" t="s">
        <v>142</v>
      </c>
      <c r="C30" s="34" t="s">
        <v>143</v>
      </c>
      <c r="D30" s="33" t="s">
        <v>81</v>
      </c>
      <c r="E30" s="33" t="s">
        <v>144</v>
      </c>
      <c r="F30" s="33" t="s">
        <v>145</v>
      </c>
      <c r="G30" s="33" t="s">
        <v>146</v>
      </c>
      <c r="H30" s="7"/>
      <c r="I30" s="7"/>
    </row>
    <row r="31">
      <c r="A31" s="35" t="s">
        <v>147</v>
      </c>
      <c r="B31" s="36" t="s">
        <v>148</v>
      </c>
      <c r="C31" s="37" t="s">
        <v>149</v>
      </c>
      <c r="D31" s="36" t="s">
        <v>150</v>
      </c>
      <c r="E31" s="36" t="s">
        <v>151</v>
      </c>
      <c r="F31" s="36" t="s">
        <v>152</v>
      </c>
      <c r="G31" s="36" t="s">
        <v>153</v>
      </c>
      <c r="H31" s="7"/>
      <c r="I31" s="7"/>
    </row>
    <row r="32">
      <c r="A32" s="32" t="s">
        <v>154</v>
      </c>
      <c r="B32" s="33" t="s">
        <v>155</v>
      </c>
      <c r="C32" s="34" t="s">
        <v>156</v>
      </c>
      <c r="D32" s="33" t="s">
        <v>157</v>
      </c>
      <c r="E32" s="33" t="s">
        <v>158</v>
      </c>
      <c r="F32" s="33" t="s">
        <v>159</v>
      </c>
      <c r="G32" s="33" t="s">
        <v>160</v>
      </c>
      <c r="H32" s="7"/>
      <c r="I32" s="7"/>
    </row>
    <row r="33">
      <c r="A33" s="32" t="s">
        <v>161</v>
      </c>
      <c r="B33" s="33" t="s">
        <v>162</v>
      </c>
      <c r="C33" s="34" t="s">
        <v>163</v>
      </c>
      <c r="D33" s="33" t="s">
        <v>164</v>
      </c>
      <c r="E33" s="33" t="s">
        <v>165</v>
      </c>
      <c r="F33" s="33" t="s">
        <v>166</v>
      </c>
      <c r="G33" s="33" t="s">
        <v>167</v>
      </c>
      <c r="H33" s="7"/>
      <c r="I33" s="7"/>
    </row>
    <row r="34">
      <c r="A34" s="35" t="s">
        <v>168</v>
      </c>
      <c r="B34" s="36" t="s">
        <v>169</v>
      </c>
      <c r="C34" s="37" t="s">
        <v>170</v>
      </c>
      <c r="D34" s="36" t="s">
        <v>171</v>
      </c>
      <c r="E34" s="36" t="s">
        <v>172</v>
      </c>
      <c r="F34" s="36" t="s">
        <v>173</v>
      </c>
      <c r="G34" s="36" t="s">
        <v>174</v>
      </c>
      <c r="H34" s="7"/>
      <c r="I34" s="7"/>
    </row>
    <row r="35">
      <c r="A35" s="32" t="s">
        <v>175</v>
      </c>
      <c r="B35" s="33" t="s">
        <v>176</v>
      </c>
      <c r="C35" s="34" t="s">
        <v>177</v>
      </c>
      <c r="D35" s="33" t="s">
        <v>178</v>
      </c>
      <c r="E35" s="33" t="s">
        <v>179</v>
      </c>
      <c r="F35" s="33" t="s">
        <v>180</v>
      </c>
      <c r="G35" s="33" t="s">
        <v>181</v>
      </c>
      <c r="H35" s="7"/>
      <c r="I35" s="7"/>
    </row>
    <row r="36">
      <c r="A36" s="38" t="s">
        <v>182</v>
      </c>
      <c r="B36" s="36" t="s">
        <v>183</v>
      </c>
      <c r="C36" s="37" t="s">
        <v>184</v>
      </c>
      <c r="D36" s="36" t="s">
        <v>81</v>
      </c>
      <c r="E36" s="36" t="s">
        <v>185</v>
      </c>
      <c r="F36" s="36" t="s">
        <v>186</v>
      </c>
      <c r="G36" s="36"/>
      <c r="H36" s="7"/>
      <c r="I36" s="7"/>
    </row>
    <row r="37">
      <c r="A37" s="39" t="s">
        <v>187</v>
      </c>
      <c r="B37" s="33" t="s">
        <v>188</v>
      </c>
      <c r="C37" s="34" t="s">
        <v>189</v>
      </c>
      <c r="D37" s="33" t="s">
        <v>190</v>
      </c>
      <c r="E37" s="33" t="s">
        <v>191</v>
      </c>
      <c r="F37" s="33" t="s">
        <v>192</v>
      </c>
      <c r="G37" s="33" t="s">
        <v>193</v>
      </c>
      <c r="H37" s="7"/>
      <c r="I37" s="7"/>
    </row>
    <row r="38">
      <c r="A38" s="38" t="s">
        <v>194</v>
      </c>
      <c r="B38" s="36" t="s">
        <v>195</v>
      </c>
      <c r="C38" s="37" t="s">
        <v>196</v>
      </c>
      <c r="D38" s="36" t="s">
        <v>197</v>
      </c>
      <c r="E38" s="36" t="s">
        <v>198</v>
      </c>
      <c r="F38" s="36" t="s">
        <v>199</v>
      </c>
      <c r="G38" s="36" t="s">
        <v>200</v>
      </c>
      <c r="H38" s="7"/>
      <c r="I38" s="7"/>
    </row>
    <row r="39">
      <c r="A39" s="32" t="s">
        <v>201</v>
      </c>
      <c r="B39" s="33" t="s">
        <v>202</v>
      </c>
      <c r="C39" s="34" t="s">
        <v>203</v>
      </c>
      <c r="D39" s="33" t="s">
        <v>204</v>
      </c>
      <c r="E39" s="33" t="s">
        <v>205</v>
      </c>
      <c r="F39" s="33" t="s">
        <v>206</v>
      </c>
      <c r="G39" s="33"/>
      <c r="H39" s="7"/>
      <c r="I39" s="7"/>
    </row>
    <row r="40">
      <c r="A40" s="38" t="s">
        <v>207</v>
      </c>
      <c r="B40" s="36" t="s">
        <v>208</v>
      </c>
      <c r="C40" s="37" t="s">
        <v>209</v>
      </c>
      <c r="D40" s="36" t="s">
        <v>159</v>
      </c>
      <c r="E40" s="36" t="s">
        <v>210</v>
      </c>
      <c r="F40" s="36" t="s">
        <v>211</v>
      </c>
      <c r="G40" s="36"/>
      <c r="H40" s="7"/>
      <c r="I40" s="7"/>
    </row>
    <row r="41">
      <c r="A41" s="32" t="s">
        <v>212</v>
      </c>
      <c r="B41" s="33" t="s">
        <v>213</v>
      </c>
      <c r="C41" s="34" t="s">
        <v>214</v>
      </c>
      <c r="D41" s="33" t="s">
        <v>215</v>
      </c>
      <c r="E41" s="33" t="s">
        <v>216</v>
      </c>
      <c r="F41" s="33" t="s">
        <v>217</v>
      </c>
      <c r="G41" s="33"/>
      <c r="H41" s="7"/>
      <c r="I41" s="7"/>
    </row>
    <row r="42">
      <c r="A42" s="32" t="s">
        <v>218</v>
      </c>
      <c r="B42" s="33" t="s">
        <v>219</v>
      </c>
      <c r="C42" s="34" t="s">
        <v>220</v>
      </c>
      <c r="D42" s="33" t="s">
        <v>75</v>
      </c>
      <c r="E42" s="33" t="s">
        <v>221</v>
      </c>
      <c r="F42" s="33" t="s">
        <v>222</v>
      </c>
      <c r="G42" s="33" t="s">
        <v>223</v>
      </c>
      <c r="H42" s="7"/>
      <c r="I42" s="7"/>
    </row>
    <row r="43">
      <c r="A43" s="38" t="s">
        <v>224</v>
      </c>
      <c r="B43" s="36" t="s">
        <v>225</v>
      </c>
      <c r="C43" s="37" t="s">
        <v>226</v>
      </c>
      <c r="D43" s="36" t="s">
        <v>227</v>
      </c>
      <c r="E43" s="36" t="s">
        <v>228</v>
      </c>
      <c r="F43" s="36" t="s">
        <v>229</v>
      </c>
      <c r="G43" s="36" t="s">
        <v>230</v>
      </c>
      <c r="H43" s="7"/>
      <c r="I43" s="7"/>
    </row>
    <row r="44">
      <c r="A44" s="32" t="s">
        <v>231</v>
      </c>
      <c r="B44" s="33" t="s">
        <v>232</v>
      </c>
      <c r="C44" s="34" t="s">
        <v>233</v>
      </c>
      <c r="D44" s="33" t="s">
        <v>234</v>
      </c>
      <c r="E44" s="33" t="s">
        <v>235</v>
      </c>
      <c r="F44" s="33" t="s">
        <v>236</v>
      </c>
      <c r="G44" s="33"/>
      <c r="H44" s="7"/>
      <c r="I44" s="7"/>
    </row>
    <row r="45">
      <c r="A45" s="35" t="s">
        <v>237</v>
      </c>
      <c r="B45" s="36" t="s">
        <v>238</v>
      </c>
      <c r="C45" s="37" t="s">
        <v>239</v>
      </c>
      <c r="D45" s="36" t="s">
        <v>81</v>
      </c>
      <c r="E45" s="36" t="s">
        <v>240</v>
      </c>
      <c r="F45" s="36" t="s">
        <v>241</v>
      </c>
      <c r="G45" s="36" t="s">
        <v>242</v>
      </c>
      <c r="H45" s="7"/>
      <c r="I45" s="7"/>
    </row>
    <row r="46">
      <c r="A46" s="32" t="s">
        <v>243</v>
      </c>
      <c r="B46" s="33" t="s">
        <v>176</v>
      </c>
      <c r="C46" s="34" t="s">
        <v>244</v>
      </c>
      <c r="D46" s="33" t="s">
        <v>245</v>
      </c>
      <c r="E46" s="33" t="s">
        <v>246</v>
      </c>
      <c r="F46" s="33" t="s">
        <v>247</v>
      </c>
      <c r="G46" s="33" t="s">
        <v>118</v>
      </c>
      <c r="H46" s="7"/>
      <c r="I46" s="7"/>
    </row>
    <row r="47">
      <c r="A47" s="35" t="s">
        <v>248</v>
      </c>
      <c r="B47" s="36" t="s">
        <v>249</v>
      </c>
      <c r="C47" s="37" t="s">
        <v>250</v>
      </c>
      <c r="D47" s="36" t="s">
        <v>251</v>
      </c>
      <c r="E47" s="36" t="s">
        <v>252</v>
      </c>
      <c r="F47" s="36" t="s">
        <v>253</v>
      </c>
      <c r="G47" s="36" t="s">
        <v>254</v>
      </c>
      <c r="H47" s="7"/>
      <c r="I47" s="7"/>
    </row>
    <row r="48">
      <c r="A48" s="32" t="s">
        <v>255</v>
      </c>
      <c r="B48" s="33" t="s">
        <v>256</v>
      </c>
      <c r="C48" s="34" t="s">
        <v>257</v>
      </c>
      <c r="D48" s="33" t="s">
        <v>258</v>
      </c>
      <c r="E48" s="33" t="s">
        <v>259</v>
      </c>
      <c r="F48" s="33" t="s">
        <v>186</v>
      </c>
      <c r="G48" s="33"/>
      <c r="H48" s="7"/>
      <c r="I48" s="7"/>
    </row>
    <row r="49">
      <c r="A49" s="38" t="s">
        <v>260</v>
      </c>
      <c r="B49" s="36" t="s">
        <v>261</v>
      </c>
      <c r="C49" s="37" t="s">
        <v>262</v>
      </c>
      <c r="D49" s="36" t="s">
        <v>263</v>
      </c>
      <c r="E49" s="36" t="s">
        <v>264</v>
      </c>
      <c r="F49" s="36" t="s">
        <v>265</v>
      </c>
      <c r="G49" s="36" t="s">
        <v>266</v>
      </c>
      <c r="H49" s="7"/>
      <c r="I49" s="7"/>
    </row>
    <row r="50">
      <c r="A50" s="39" t="s">
        <v>267</v>
      </c>
      <c r="B50" s="33" t="s">
        <v>268</v>
      </c>
      <c r="C50" s="34" t="s">
        <v>269</v>
      </c>
      <c r="D50" s="33" t="s">
        <v>270</v>
      </c>
      <c r="E50" s="33" t="s">
        <v>172</v>
      </c>
      <c r="F50" s="33"/>
      <c r="G50" s="33" t="s">
        <v>271</v>
      </c>
      <c r="H50" s="7"/>
      <c r="I50" s="7"/>
    </row>
    <row r="51">
      <c r="A51" s="38" t="s">
        <v>272</v>
      </c>
      <c r="B51" s="36" t="s">
        <v>273</v>
      </c>
      <c r="C51" s="37" t="s">
        <v>274</v>
      </c>
      <c r="D51" s="36" t="s">
        <v>275</v>
      </c>
      <c r="E51" s="36" t="s">
        <v>276</v>
      </c>
      <c r="F51" s="36" t="s">
        <v>277</v>
      </c>
      <c r="G51" s="36" t="s">
        <v>278</v>
      </c>
      <c r="H51" s="7"/>
      <c r="I51" s="7"/>
    </row>
    <row r="52">
      <c r="A52" s="32" t="s">
        <v>279</v>
      </c>
      <c r="B52" s="33" t="s">
        <v>280</v>
      </c>
      <c r="C52" s="34" t="s">
        <v>281</v>
      </c>
      <c r="D52" s="33" t="s">
        <v>282</v>
      </c>
      <c r="E52" s="33" t="s">
        <v>283</v>
      </c>
      <c r="F52" s="33" t="s">
        <v>284</v>
      </c>
      <c r="G52" s="33" t="s">
        <v>278</v>
      </c>
      <c r="H52" s="7"/>
      <c r="I52" s="7"/>
    </row>
    <row r="53">
      <c r="A53" s="12" t="s">
        <v>285</v>
      </c>
      <c r="B53" s="12" t="s">
        <v>286</v>
      </c>
      <c r="C53" s="40" t="s">
        <v>287</v>
      </c>
      <c r="D53" s="12" t="s">
        <v>288</v>
      </c>
      <c r="E53" s="12"/>
      <c r="F53" s="12" t="s">
        <v>289</v>
      </c>
      <c r="G53" s="12" t="s">
        <v>290</v>
      </c>
      <c r="H53" s="7"/>
      <c r="I53" s="7"/>
    </row>
    <row r="54">
      <c r="A54" s="12" t="s">
        <v>291</v>
      </c>
      <c r="B54" s="12" t="s">
        <v>292</v>
      </c>
      <c r="C54" s="40" t="s">
        <v>293</v>
      </c>
      <c r="D54" s="12" t="s">
        <v>294</v>
      </c>
      <c r="E54" s="12" t="s">
        <v>295</v>
      </c>
      <c r="F54" s="12" t="s">
        <v>296</v>
      </c>
      <c r="G54" s="12" t="s">
        <v>297</v>
      </c>
      <c r="H54" s="7"/>
      <c r="I54" s="7"/>
    </row>
    <row r="55">
      <c r="A55" s="12"/>
      <c r="B55" s="12"/>
      <c r="C55" s="12"/>
      <c r="D55" s="12"/>
      <c r="E55" s="12"/>
      <c r="F55" s="12"/>
      <c r="G55" s="12"/>
      <c r="H55" s="7"/>
      <c r="I55" s="7"/>
    </row>
    <row r="56">
      <c r="A56" s="12"/>
      <c r="B56" s="12"/>
      <c r="C56" s="12"/>
      <c r="D56" s="12"/>
      <c r="E56" s="12"/>
      <c r="F56" s="12"/>
      <c r="G56" s="12"/>
      <c r="H56" s="7"/>
      <c r="I56" s="7"/>
    </row>
    <row r="57">
      <c r="A57" s="12"/>
      <c r="B57" s="12"/>
      <c r="C57" s="12"/>
      <c r="D57" s="12"/>
      <c r="E57" s="12"/>
      <c r="F57" s="12"/>
      <c r="G57" s="12"/>
      <c r="H57" s="7"/>
      <c r="I57" s="7"/>
    </row>
    <row r="58">
      <c r="A58" s="12"/>
      <c r="B58" s="12"/>
      <c r="C58" s="12"/>
      <c r="D58" s="12"/>
      <c r="E58" s="12"/>
      <c r="F58" s="12"/>
      <c r="G58" s="12"/>
      <c r="H58" s="7"/>
      <c r="I58" s="7"/>
    </row>
    <row r="59">
      <c r="A59" s="12"/>
      <c r="B59" s="12"/>
      <c r="C59" s="12"/>
      <c r="D59" s="12"/>
      <c r="E59" s="12"/>
      <c r="F59" s="12"/>
      <c r="G59" s="12"/>
      <c r="H59" s="7"/>
      <c r="I59" s="7"/>
    </row>
    <row r="60">
      <c r="A60" s="12"/>
      <c r="B60" s="12"/>
      <c r="C60" s="12"/>
      <c r="D60" s="12"/>
      <c r="E60" s="12"/>
      <c r="F60" s="12"/>
      <c r="G60" s="12"/>
      <c r="H60" s="7"/>
      <c r="I60" s="7"/>
    </row>
    <row r="61">
      <c r="A61" s="41" t="s">
        <v>298</v>
      </c>
      <c r="B61" s="16"/>
      <c r="C61" s="16"/>
      <c r="D61" s="16"/>
      <c r="E61" s="16"/>
      <c r="F61" s="16"/>
      <c r="G61" s="17"/>
      <c r="H61" s="7"/>
      <c r="I61" s="7"/>
    </row>
    <row r="62">
      <c r="A62" s="42" t="s">
        <v>299</v>
      </c>
    </row>
  </sheetData>
  <mergeCells count="7">
    <mergeCell ref="A1:G1"/>
    <mergeCell ref="A10:G10"/>
    <mergeCell ref="A13:G13"/>
    <mergeCell ref="A19:G19"/>
    <mergeCell ref="A29:G29"/>
    <mergeCell ref="A61:G61"/>
    <mergeCell ref="A62:I62"/>
  </mergeCells>
  <hyperlinks>
    <hyperlink r:id="rId1" ref="B2"/>
    <hyperlink r:id="rId2" ref="A6"/>
    <hyperlink r:id="rId3" ref="A7"/>
    <hyperlink r:id="rId4" ref="C11"/>
    <hyperlink r:id="rId5" ref="C12"/>
    <hyperlink r:id="rId6" ref="C14"/>
    <hyperlink r:id="rId7" ref="C15"/>
    <hyperlink r:id="rId8" ref="C16"/>
    <hyperlink r:id="rId9" ref="C17"/>
    <hyperlink r:id="rId10" ref="C18"/>
    <hyperlink r:id="rId11" ref="C20"/>
    <hyperlink r:id="rId12" ref="C21"/>
    <hyperlink r:id="rId13" ref="C22"/>
    <hyperlink r:id="rId14" ref="C23"/>
    <hyperlink r:id="rId15" ref="C24"/>
    <hyperlink r:id="rId16" ref="C25"/>
    <hyperlink r:id="rId17" ref="C26"/>
    <hyperlink r:id="rId18" ref="C27"/>
    <hyperlink r:id="rId19" ref="A28"/>
    <hyperlink r:id="rId20" ref="C28"/>
    <hyperlink r:id="rId21" ref="C30"/>
    <hyperlink r:id="rId22" ref="A31"/>
    <hyperlink r:id="rId23" ref="C31"/>
    <hyperlink r:id="rId24" ref="C32"/>
    <hyperlink r:id="rId25" ref="C33"/>
    <hyperlink r:id="rId26" ref="A34"/>
    <hyperlink r:id="rId27" ref="C34"/>
    <hyperlink r:id="rId28" ref="C35"/>
    <hyperlink r:id="rId29" ref="C36"/>
    <hyperlink r:id="rId30" ref="A37"/>
    <hyperlink r:id="rId31" ref="C37"/>
    <hyperlink r:id="rId32" ref="C38"/>
    <hyperlink r:id="rId33" ref="C39"/>
    <hyperlink r:id="rId34" ref="C40"/>
    <hyperlink r:id="rId35" ref="C41"/>
    <hyperlink r:id="rId36" ref="C42"/>
    <hyperlink r:id="rId37" ref="C43"/>
    <hyperlink r:id="rId38" ref="C44"/>
    <hyperlink r:id="rId39" ref="A45"/>
    <hyperlink r:id="rId40" ref="C45"/>
    <hyperlink r:id="rId41" ref="C46"/>
    <hyperlink r:id="rId42" ref="A47"/>
    <hyperlink r:id="rId43" ref="C47"/>
    <hyperlink r:id="rId44" ref="C48"/>
    <hyperlink r:id="rId45" ref="C49"/>
    <hyperlink r:id="rId46" ref="A50"/>
    <hyperlink r:id="rId47" ref="C50"/>
    <hyperlink r:id="rId48" ref="C51"/>
    <hyperlink r:id="rId49" ref="C52"/>
    <hyperlink r:id="rId50" ref="C53"/>
    <hyperlink r:id="rId51" ref="C54"/>
  </hyperlinks>
  <drawing r:id="rId52"/>
</worksheet>
</file>